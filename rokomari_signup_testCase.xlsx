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19200" windowHeight="7050"/>
  </bookViews>
  <sheets>
    <sheet name="Test Cases" sheetId="3" r:id="rId1"/>
  </sheets>
  <definedNames>
    <definedName name="mm">'Test Cases'!$H$8</definedName>
    <definedName name="verify_package_Design">'Test Cases'!$H$8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3"/>
  <c r="I4" l="1"/>
  <c r="I3"/>
  <c r="I5" l="1"/>
</calcChain>
</file>

<file path=xl/sharedStrings.xml><?xml version="1.0" encoding="utf-8"?>
<sst xmlns="http://schemas.openxmlformats.org/spreadsheetml/2006/main" count="90" uniqueCount="74">
  <si>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</si>
  <si>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</si>
  <si>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</si>
  <si>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</si>
  <si>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</si>
  <si>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</si>
  <si>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</si>
  <si>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</si>
  <si>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</si>
  <si>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</si>
  <si>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</si>
  <si>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</si>
  <si>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</si>
  <si>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</si>
  <si>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</si>
  <si>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</si>
  <si>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</si>
  <si>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</si>
  <si>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</si>
  <si>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</si>
  <si>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</si>
  <si>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</si>
  <si>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</si>
  <si>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</si>
  <si>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</si>
  <si>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</si>
  <si>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TC_Registration_001</t>
  </si>
  <si>
    <t>TC_Registration_002</t>
  </si>
  <si>
    <t>TC_Registration_003</t>
  </si>
  <si>
    <t>TC_Registration_004</t>
  </si>
  <si>
    <t>SIGN UP</t>
  </si>
  <si>
    <t>17/09/2021</t>
  </si>
  <si>
    <t>Arman Hossain</t>
  </si>
  <si>
    <t>Valid Data</t>
  </si>
  <si>
    <t xml:space="preserve">Full Name: Arman Hossain Email:armannafi22@gmail.com Mobile: 01689509849 Password: Nafi@2804       </t>
  </si>
  <si>
    <t>The system should send a code to the provided phone number, after clicking on Create Account button the page will take to the rokomari shop page</t>
  </si>
  <si>
    <t>Code sent successfully and after clicking on submit button the page took to the rokomari shop page</t>
  </si>
  <si>
    <t>16/09/2021</t>
  </si>
  <si>
    <t>Invalid Email</t>
  </si>
  <si>
    <t xml:space="preserve">Full Name: !@#$ Email:armannafi49@gmail.com     Mobile: 01922882804                          Password: 123456789      </t>
  </si>
  <si>
    <t>Invalid Mobile Number</t>
  </si>
  <si>
    <t>TC_Registration_005</t>
  </si>
  <si>
    <t xml:space="preserve">Full Name: Arman Hossain  Email: 12345@ggmail.com     Mobile: 0163365966                          Password: 12345678 9     </t>
  </si>
  <si>
    <t xml:space="preserve">Full Name: Arman Hossain  Email: armannafi49@gmail.com    Mobile: 123456789012345678                  Password: 12345678 9     </t>
  </si>
  <si>
    <t>1.Launch Browser 
2.Go to url "https://www.rokomari.com/"
3.Click on "Sign In"
4.Click on "SIGN UP"
5.Type Valid name
6. Type Valid Email
7. Type Invalid mobile number
8.Type a password                                                 9. Select " I agree to the Terms of Use and Privacy Policy"                                            10.Click on "I'm not a robot"
11.Click on Create Account</t>
  </si>
  <si>
    <t>Checkout "I agree to the Terms of Use and Privacy Policy"</t>
  </si>
  <si>
    <t xml:space="preserve">Full Name: Arman Hossain  Email: armannafi49@gmail.com    Mobile: 01811603045                  Password:      </t>
  </si>
  <si>
    <t xml:space="preserve">Full Name: Arman Hossain  Email: armannafi23@gmail.com    Mobile: 01813955747                  Password:1212121212       </t>
  </si>
  <si>
    <t>TC_Registration_006</t>
  </si>
  <si>
    <t>1.Launch Browser 
2.Go to url "https://www.rokomari.com/"
3.Click on "Sign In"
4.Click on "SIGN UP"
5.Type Valid name
6. Type Valid Email
7. Type Invalid mobile number
8. Type of a Password                                                  9. Checkout " I agree to the Terms of Use and Privacy Policy"                                            10.Click on "I'm not a robot"
11.Click on Create Account</t>
  </si>
  <si>
    <t>1.Launch Browser 
2.Go to url "https://www.rokomari.com/"
3.Click on "Sign In"
4.Click on "SIGN UP"
5.Type Valid name
6. Type Valid Email
7. Type Invalid mobile number
8. Keep the Password field empty                                                  9. Select " I agree to the Terms of Use and Privacy Policy"                                            10.Click on "I'm not a robot"
11.Click on Create Account</t>
  </si>
  <si>
    <t>Empty Password</t>
  </si>
  <si>
    <t xml:space="preserve">Application should give a warning that says "The password field is required." </t>
  </si>
  <si>
    <t>As Expected</t>
  </si>
  <si>
    <t>1.Launch Browser 
2.Go to url "https://www.rokomari.com/"
3.Click on "Sign In"
4.Click on "SIGN UP"
5.Type Invalid name
6. Type valid email address
7. Type valid mobile number
8.Type a password                                                 9. Chek in " I agree to the Terms of Use and Privacy Policy"                                            10.Click on "I'm not a robot"                            
11.Click on Create Account</t>
  </si>
  <si>
    <t>1.Launch Browser 
2.Go to url "https://www.rokomari.com/"
3.Click on "Sign In"
4.Click on "SIGN UP"
5.Type valid name
6. Type valid email address
7. Type valid mobile number
8.Type a password                                                 9. Select " I agree to the Terms of Use and Privacy Policy"                                             10.Click on "I'm not a robot"                            
11.Click on Create Account                12.Type correct code                                        13. Click on submit button</t>
  </si>
  <si>
    <t>After clicking on Create Account  button the system should give an alert that says "Invalid Full Name"</t>
  </si>
  <si>
    <t>After clicking on Create Account, Application did not give any alert, actually it accepts any Full Name  value and register the user.</t>
  </si>
  <si>
    <t>After clicking on Create Account  button the system should give an alert that says "Invalid Email"</t>
  </si>
  <si>
    <t>After clicking on Create Account  button the system should give an alert that says "Invalid Mobile Number"</t>
  </si>
  <si>
    <t>After clicking on Create Account, Application did not give any alert, actually it accepts any number and redirect next steps.</t>
  </si>
  <si>
    <t>1.Launch Browser 
2.Go to url "https://www.rokomari.com/"
3.Click on "Sign In"
4.Click on "SIGN UP"
5.Type Valid name
6. Type Invalid email address
7. Type valid mobile number
8.Type a password                                                 9. Check in " I agree to the Terms of Use and Privacy Policy"                                             10.Click on "I'm not a robot"
11.Click on Create Account</t>
  </si>
  <si>
    <t>Application should give a warning that says  "Please accept terms &amp; conditions"</t>
  </si>
  <si>
    <t>TC_Registration_007</t>
  </si>
  <si>
    <t>1.Launch Browser 
2.Go to url "https://www.rokomari.com/"
3.Click on "Sign In"
4.Click on "SIGN UP"
5.Type Valid name
6. Type Valid Email
7. Type Invalid mobile number
8. Type of a Password                                                  9. Check in " I agree to the Terms of Use and Privacy Policy"                                            10.Checkout "I'm not a robot"
11.Click on Create Account</t>
  </si>
  <si>
    <t>Application should give a warning that says  "Please complete captcha"</t>
  </si>
  <si>
    <t>Checkout "CAPTCHA"</t>
  </si>
  <si>
    <t>same email and mobile number use again</t>
  </si>
  <si>
    <t>Application should give a warning that says  "Email &amp; Mobile number already registered"</t>
  </si>
  <si>
    <t>TC_Registration_008</t>
  </si>
  <si>
    <t>After clicking on Create Account, Application did not give any alert.</t>
  </si>
  <si>
    <t>rokomari web application</t>
  </si>
  <si>
    <t>Invalid Full Name</t>
  </si>
  <si>
    <t>Google Chrome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</si>
</sst>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</font>
    <font>
      <u/>
      <sz val="10"/>
      <color theme="10"/>
      <name val="Arial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9" fillId="0" borderId="8" xfId="1" applyFont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52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tabColor rgb="FF002060"/>
  </sheetPr>
  <dimension ref="A1:I981"/>
  <sheetViews>
    <sheetView showGridLines="0" tabSelected="1" zoomScale="90" zoomScaleNormal="90" workbookViewId="0">
      <pane ySplit="6" topLeftCell="A9" activePane="bottomLeft" state="frozen"/>
      <selection pane="bottomLeft" activeCell="C9" sqref="C9"/>
    </sheetView>
  </sheetViews>
  <sheetFormatPr defaultColWidth="14.42578125" defaultRowHeight="15" customHeight="1"/>
  <cols>
    <col min="1" max="1" width="21.85546875" style="5" customWidth="1"/>
    <col min="2" max="2" width="21.140625" style="5" customWidth="1"/>
    <col min="3" max="3" width="28" style="5" customWidth="1"/>
    <col min="4" max="4" width="34.85546875" style="5" customWidth="1"/>
    <col min="5" max="5" width="41.42578125" style="5" customWidth="1"/>
    <col min="6" max="6" width="31.42578125" style="5" customWidth="1"/>
    <col min="7" max="7" width="30" style="5" customWidth="1"/>
    <col min="8" max="8" width="19.85546875" style="5" customWidth="1"/>
    <col min="9" max="9" width="25" style="5" customWidth="1"/>
    <col min="10" max="10" width="17.42578125" style="5" customWidth="1"/>
    <col min="11" max="16384" width="14.42578125" style="5"/>
  </cols>
  <sheetData>
    <row r="1" spans="1:9" ht="18" customHeight="1">
      <c r="A1" s="43" t="s">
        <v>4</v>
      </c>
      <c r="B1" s="40"/>
      <c r="C1" s="1" t="s">
        <v>71</v>
      </c>
      <c r="D1" s="3" t="s">
        <v>5</v>
      </c>
      <c r="E1" s="33" t="s">
        <v>37</v>
      </c>
      <c r="F1" s="4" t="s">
        <v>6</v>
      </c>
      <c r="G1" s="33" t="s">
        <v>31</v>
      </c>
      <c r="H1" s="44" t="s">
        <v>7</v>
      </c>
      <c r="I1" s="40"/>
    </row>
    <row r="2" spans="1:9" ht="12.75">
      <c r="A2" s="42" t="s">
        <v>8</v>
      </c>
      <c r="B2" s="40"/>
      <c r="C2" s="2" t="s">
        <v>30</v>
      </c>
      <c r="D2" s="3" t="s">
        <v>9</v>
      </c>
      <c r="E2" s="33" t="s">
        <v>37</v>
      </c>
      <c r="F2" s="6" t="s">
        <v>10</v>
      </c>
      <c r="G2" s="33" t="s">
        <v>31</v>
      </c>
      <c r="H2" s="3" t="s">
        <v>0</v>
      </c>
      <c r="I2" s="18">
        <f>COUNTIF(G7:G49, "PASS")</f>
        <v>5</v>
      </c>
    </row>
    <row r="3" spans="1:9" ht="18" customHeight="1">
      <c r="A3" s="42"/>
      <c r="B3" s="40"/>
      <c r="C3" s="2"/>
      <c r="D3" s="7" t="s">
        <v>11</v>
      </c>
      <c r="E3" s="34" t="s">
        <v>32</v>
      </c>
      <c r="F3" s="1" t="s">
        <v>12</v>
      </c>
      <c r="G3" s="35" t="s">
        <v>73</v>
      </c>
      <c r="H3" s="8" t="s">
        <v>1</v>
      </c>
      <c r="I3" s="19">
        <f>COUNTIF(G8:G49, "Fail")</f>
        <v>3</v>
      </c>
    </row>
    <row r="4" spans="1:9" ht="18" customHeight="1">
      <c r="A4" s="42" t="s">
        <v>13</v>
      </c>
      <c r="B4" s="40"/>
      <c r="C4" s="2"/>
      <c r="D4" s="7" t="s">
        <v>14</v>
      </c>
      <c r="E4" s="2"/>
      <c r="F4" s="1" t="s">
        <v>15</v>
      </c>
      <c r="G4" s="9" t="s">
        <v>3</v>
      </c>
      <c r="H4" s="3" t="s">
        <v>16</v>
      </c>
      <c r="I4" s="20">
        <f>COUNTIF(G8:G49, "WARNING")</f>
        <v>0</v>
      </c>
    </row>
    <row r="5" spans="1:9" ht="18" customHeight="1">
      <c r="A5" s="39" t="s">
        <v>17</v>
      </c>
      <c r="B5" s="40"/>
      <c r="C5" s="39"/>
      <c r="D5" s="41"/>
      <c r="E5" s="41"/>
      <c r="F5" s="41"/>
      <c r="G5" s="40"/>
      <c r="H5" s="10" t="s">
        <v>18</v>
      </c>
      <c r="I5" s="21">
        <f>SUM(I2:I4:I3)</f>
        <v>8</v>
      </c>
    </row>
    <row r="6" spans="1:9" ht="18" customHeight="1">
      <c r="A6" s="11" t="s">
        <v>19</v>
      </c>
      <c r="B6" s="12" t="s">
        <v>20</v>
      </c>
      <c r="C6" s="12" t="s">
        <v>23</v>
      </c>
      <c r="D6" s="12" t="s">
        <v>24</v>
      </c>
      <c r="E6" s="12" t="s">
        <v>21</v>
      </c>
      <c r="F6" s="12" t="s">
        <v>25</v>
      </c>
      <c r="G6" s="12" t="s">
        <v>22</v>
      </c>
      <c r="H6" s="12" t="s">
        <v>2</v>
      </c>
    </row>
    <row r="7" spans="1:9" ht="200.25" customHeight="1">
      <c r="A7" s="13" t="s">
        <v>26</v>
      </c>
      <c r="B7" s="14" t="s">
        <v>33</v>
      </c>
      <c r="C7" s="38" t="s">
        <v>34</v>
      </c>
      <c r="D7" s="15" t="s">
        <v>55</v>
      </c>
      <c r="E7" s="14" t="s">
        <v>35</v>
      </c>
      <c r="F7" s="15" t="s">
        <v>36</v>
      </c>
      <c r="G7" s="16" t="s">
        <v>0</v>
      </c>
      <c r="H7" s="32"/>
    </row>
    <row r="8" spans="1:9" ht="186" customHeight="1">
      <c r="A8" s="13" t="s">
        <v>27</v>
      </c>
      <c r="B8" s="14" t="s">
        <v>72</v>
      </c>
      <c r="C8" s="38" t="s">
        <v>39</v>
      </c>
      <c r="D8" s="15" t="s">
        <v>54</v>
      </c>
      <c r="E8" s="15" t="s">
        <v>56</v>
      </c>
      <c r="F8" s="14" t="s">
        <v>57</v>
      </c>
      <c r="G8" s="16" t="s">
        <v>1</v>
      </c>
      <c r="H8" s="32"/>
    </row>
    <row r="9" spans="1:9" ht="177" customHeight="1">
      <c r="A9" s="13" t="s">
        <v>28</v>
      </c>
      <c r="B9" s="14" t="s">
        <v>38</v>
      </c>
      <c r="C9" s="38" t="s">
        <v>42</v>
      </c>
      <c r="D9" s="15" t="s">
        <v>61</v>
      </c>
      <c r="E9" s="15" t="s">
        <v>58</v>
      </c>
      <c r="F9" s="14" t="s">
        <v>70</v>
      </c>
      <c r="G9" s="16" t="s">
        <v>1</v>
      </c>
      <c r="H9" s="32"/>
    </row>
    <row r="10" spans="1:9" ht="177.75" customHeight="1">
      <c r="A10" s="13" t="s">
        <v>29</v>
      </c>
      <c r="B10" s="14" t="s">
        <v>40</v>
      </c>
      <c r="C10" s="38" t="s">
        <v>43</v>
      </c>
      <c r="D10" s="15" t="s">
        <v>44</v>
      </c>
      <c r="E10" s="15" t="s">
        <v>59</v>
      </c>
      <c r="F10" s="14" t="s">
        <v>60</v>
      </c>
      <c r="G10" s="16" t="s">
        <v>1</v>
      </c>
      <c r="H10" s="28"/>
    </row>
    <row r="11" spans="1:9" ht="175.5" customHeight="1">
      <c r="A11" s="13" t="s">
        <v>41</v>
      </c>
      <c r="B11" s="14" t="s">
        <v>51</v>
      </c>
      <c r="C11" s="38" t="s">
        <v>46</v>
      </c>
      <c r="D11" s="15" t="s">
        <v>50</v>
      </c>
      <c r="E11" s="14" t="s">
        <v>52</v>
      </c>
      <c r="F11" s="15" t="s">
        <v>53</v>
      </c>
      <c r="G11" s="16" t="s">
        <v>0</v>
      </c>
      <c r="H11" s="29"/>
    </row>
    <row r="12" spans="1:9" ht="174.75" customHeight="1">
      <c r="A12" s="13" t="s">
        <v>48</v>
      </c>
      <c r="B12" s="14" t="s">
        <v>45</v>
      </c>
      <c r="C12" s="38" t="s">
        <v>47</v>
      </c>
      <c r="D12" s="15" t="s">
        <v>49</v>
      </c>
      <c r="E12" s="14" t="s">
        <v>62</v>
      </c>
      <c r="F12" s="15" t="s">
        <v>53</v>
      </c>
      <c r="G12" s="16" t="s">
        <v>0</v>
      </c>
      <c r="H12" s="28"/>
    </row>
    <row r="13" spans="1:9" ht="174" customHeight="1">
      <c r="A13" s="13" t="s">
        <v>63</v>
      </c>
      <c r="B13" s="14" t="s">
        <v>66</v>
      </c>
      <c r="C13" s="38" t="s">
        <v>47</v>
      </c>
      <c r="D13" s="15" t="s">
        <v>64</v>
      </c>
      <c r="E13" s="14" t="s">
        <v>65</v>
      </c>
      <c r="F13" s="15" t="s">
        <v>53</v>
      </c>
      <c r="G13" s="16" t="s">
        <v>0</v>
      </c>
      <c r="H13" s="32"/>
    </row>
    <row r="14" spans="1:9" ht="172.5" customHeight="1">
      <c r="A14" s="13" t="s">
        <v>69</v>
      </c>
      <c r="B14" s="14" t="s">
        <v>67</v>
      </c>
      <c r="C14" s="38" t="s">
        <v>34</v>
      </c>
      <c r="D14" s="15" t="s">
        <v>55</v>
      </c>
      <c r="E14" s="14" t="s">
        <v>68</v>
      </c>
      <c r="F14" s="15" t="s">
        <v>53</v>
      </c>
      <c r="G14" s="16" t="s">
        <v>0</v>
      </c>
      <c r="H14" s="29"/>
    </row>
    <row r="15" spans="1:9" ht="153" customHeight="1">
      <c r="A15" s="13"/>
      <c r="B15" s="15"/>
      <c r="C15" s="22"/>
      <c r="D15" s="14"/>
      <c r="E15" s="15"/>
      <c r="F15" s="15"/>
      <c r="G15" s="16"/>
      <c r="H15" s="30"/>
    </row>
    <row r="16" spans="1:9" ht="135" customHeight="1">
      <c r="A16" s="13"/>
      <c r="B16" s="15"/>
      <c r="C16" s="22"/>
      <c r="D16" s="14"/>
      <c r="E16" s="15"/>
      <c r="F16" s="15"/>
      <c r="G16" s="16"/>
      <c r="H16" s="36"/>
    </row>
    <row r="17" spans="1:8" ht="111.95" customHeight="1">
      <c r="A17" s="13"/>
      <c r="B17" s="14"/>
      <c r="C17" s="23"/>
      <c r="D17" s="15"/>
      <c r="E17" s="14"/>
      <c r="F17" s="15"/>
      <c r="G17" s="16"/>
      <c r="H17" s="30"/>
    </row>
    <row r="18" spans="1:8" ht="115.5" customHeight="1">
      <c r="A18" s="13"/>
      <c r="B18" s="14"/>
      <c r="C18" s="24"/>
      <c r="D18" s="14"/>
      <c r="E18" s="14"/>
      <c r="F18" s="15"/>
      <c r="G18" s="16"/>
      <c r="H18" s="31"/>
    </row>
    <row r="19" spans="1:8" ht="174.95" customHeight="1">
      <c r="A19" s="13"/>
      <c r="B19" s="15"/>
      <c r="C19" s="22"/>
      <c r="D19" s="14"/>
      <c r="E19" s="15"/>
      <c r="F19" s="15"/>
      <c r="G19" s="16"/>
      <c r="H19" s="30"/>
    </row>
    <row r="20" spans="1:8" ht="153.6" customHeight="1">
      <c r="A20" s="13"/>
      <c r="B20" s="14"/>
      <c r="C20" s="37"/>
      <c r="D20" s="15"/>
      <c r="E20" s="14"/>
      <c r="F20" s="15"/>
      <c r="G20" s="16"/>
      <c r="H20" s="31"/>
    </row>
    <row r="21" spans="1:8" ht="177.6" customHeight="1">
      <c r="A21" s="13"/>
      <c r="B21" s="15"/>
      <c r="C21" s="24"/>
      <c r="D21" s="15"/>
      <c r="E21" s="14"/>
      <c r="F21" s="15"/>
      <c r="G21" s="16"/>
      <c r="H21" s="30"/>
    </row>
    <row r="22" spans="1:8" ht="169.5" customHeight="1">
      <c r="A22" s="13"/>
      <c r="B22" s="14"/>
      <c r="C22" s="22"/>
      <c r="D22" s="14"/>
      <c r="E22" s="14"/>
      <c r="F22" s="15"/>
      <c r="G22" s="16"/>
      <c r="H22" s="30"/>
    </row>
    <row r="23" spans="1:8" ht="167.1" customHeight="1">
      <c r="A23" s="13"/>
      <c r="B23" s="14"/>
      <c r="C23" s="22"/>
      <c r="D23" s="14"/>
      <c r="E23" s="14"/>
      <c r="F23" s="15"/>
      <c r="G23" s="16"/>
      <c r="H23" s="31"/>
    </row>
    <row r="24" spans="1:8" ht="153.6" customHeight="1">
      <c r="A24" s="13"/>
      <c r="B24" s="15"/>
      <c r="C24" s="22"/>
      <c r="D24" s="14"/>
      <c r="E24" s="15"/>
      <c r="F24" s="15"/>
      <c r="G24" s="16"/>
      <c r="H24" s="30"/>
    </row>
    <row r="25" spans="1:8" ht="200.45" customHeight="1">
      <c r="A25" s="13"/>
      <c r="B25" s="14"/>
      <c r="C25" s="22"/>
      <c r="D25" s="14"/>
      <c r="E25" s="15"/>
      <c r="F25" s="15"/>
      <c r="G25" s="16"/>
      <c r="H25" s="30"/>
    </row>
    <row r="26" spans="1:8" ht="12.75">
      <c r="A26" s="13"/>
      <c r="B26" s="14"/>
      <c r="C26" s="27"/>
      <c r="D26" s="15"/>
      <c r="E26" s="14"/>
      <c r="F26" s="15"/>
      <c r="G26" s="16"/>
      <c r="H26" s="31"/>
    </row>
    <row r="27" spans="1:8" ht="12.75">
      <c r="A27" s="17"/>
      <c r="B27" s="15"/>
      <c r="C27" s="24"/>
      <c r="D27" s="14"/>
      <c r="E27" s="15"/>
      <c r="F27" s="15"/>
      <c r="G27" s="15"/>
      <c r="H27" s="30"/>
    </row>
    <row r="28" spans="1:8" ht="12.75">
      <c r="A28" s="13"/>
      <c r="B28" s="14"/>
      <c r="C28" s="24"/>
      <c r="D28" s="14"/>
      <c r="E28" s="14"/>
      <c r="F28" s="15"/>
      <c r="G28" s="15"/>
      <c r="H28" s="30"/>
    </row>
    <row r="29" spans="1:8" ht="12.75">
      <c r="A29" s="13"/>
      <c r="B29" s="14"/>
      <c r="C29" s="26"/>
      <c r="D29" s="15"/>
      <c r="E29" s="14"/>
      <c r="F29" s="15"/>
      <c r="G29" s="16"/>
      <c r="H29" s="31"/>
    </row>
    <row r="30" spans="1:8" ht="12.75">
      <c r="A30" s="17"/>
      <c r="B30" s="15"/>
      <c r="C30" s="24"/>
      <c r="D30" s="14"/>
      <c r="E30" s="15"/>
      <c r="F30" s="15"/>
      <c r="G30" s="15"/>
      <c r="H30" s="30"/>
    </row>
    <row r="31" spans="1:8" ht="12.75">
      <c r="A31" s="13"/>
      <c r="B31" s="14"/>
      <c r="C31" s="24"/>
      <c r="D31" s="14"/>
      <c r="E31" s="14"/>
      <c r="F31" s="15"/>
      <c r="G31" s="15"/>
      <c r="H31" s="30"/>
    </row>
    <row r="32" spans="1:8" ht="12.75">
      <c r="A32" s="13"/>
      <c r="B32" s="14"/>
      <c r="C32" s="25"/>
      <c r="D32" s="15"/>
      <c r="E32" s="14"/>
      <c r="F32" s="15"/>
      <c r="G32" s="16"/>
      <c r="H32" s="31"/>
    </row>
    <row r="33" spans="1:8" ht="12.75">
      <c r="A33" s="17"/>
      <c r="B33" s="15"/>
      <c r="C33" s="24"/>
      <c r="D33" s="14"/>
      <c r="E33" s="15"/>
      <c r="F33" s="15"/>
      <c r="G33" s="15"/>
      <c r="H33" s="30"/>
    </row>
    <row r="34" spans="1:8" ht="12.75">
      <c r="A34" s="13"/>
      <c r="B34" s="14"/>
      <c r="C34" s="24"/>
      <c r="D34" s="14"/>
      <c r="E34" s="14"/>
      <c r="F34" s="15"/>
      <c r="G34" s="15"/>
      <c r="H34" s="30"/>
    </row>
    <row r="35" spans="1:8" ht="12.75">
      <c r="A35" s="13"/>
      <c r="B35" s="14"/>
      <c r="C35" s="25"/>
      <c r="D35" s="15"/>
      <c r="E35" s="14"/>
      <c r="F35" s="15"/>
      <c r="G35" s="16"/>
      <c r="H35" s="31"/>
    </row>
    <row r="36" spans="1:8" ht="15.75" customHeight="1">
      <c r="A36" s="17"/>
      <c r="B36" s="15"/>
      <c r="C36" s="24"/>
      <c r="D36" s="14"/>
      <c r="E36" s="15"/>
      <c r="F36" s="15"/>
      <c r="G36" s="15"/>
      <c r="H36" s="30"/>
    </row>
    <row r="37" spans="1:8" ht="30.75" customHeight="1">
      <c r="A37" s="13"/>
      <c r="B37" s="14"/>
      <c r="C37" s="24"/>
      <c r="D37" s="14"/>
      <c r="E37" s="14"/>
      <c r="F37" s="15"/>
      <c r="G37" s="15"/>
      <c r="H37" s="30"/>
    </row>
    <row r="38" spans="1:8" ht="15.75" customHeight="1">
      <c r="A38" s="13"/>
      <c r="B38" s="14"/>
      <c r="C38" s="25"/>
      <c r="D38" s="15"/>
      <c r="E38" s="14"/>
      <c r="F38" s="15"/>
      <c r="G38" s="16"/>
      <c r="H38" s="31"/>
    </row>
    <row r="39" spans="1:8" ht="15.75" customHeight="1">
      <c r="A39" s="17"/>
      <c r="B39" s="15"/>
      <c r="C39" s="24"/>
      <c r="D39" s="14"/>
      <c r="E39" s="15"/>
      <c r="F39" s="15"/>
      <c r="G39" s="15"/>
      <c r="H39" s="30"/>
    </row>
    <row r="40" spans="1:8" ht="30.75" customHeight="1">
      <c r="A40" s="13"/>
      <c r="B40" s="14"/>
      <c r="C40" s="24"/>
      <c r="D40" s="14"/>
      <c r="E40" s="14"/>
      <c r="F40" s="15"/>
      <c r="G40" s="15"/>
      <c r="H40" s="30"/>
    </row>
    <row r="41" spans="1:8" ht="15.75" customHeight="1">
      <c r="A41" s="13"/>
      <c r="B41" s="14"/>
      <c r="C41" s="26"/>
      <c r="D41" s="15"/>
      <c r="E41" s="14"/>
      <c r="F41" s="15"/>
      <c r="G41" s="16"/>
      <c r="H41" s="31"/>
    </row>
    <row r="42" spans="1:8" ht="15.75" customHeight="1">
      <c r="A42" s="17"/>
      <c r="B42" s="15"/>
      <c r="C42" s="22"/>
      <c r="D42" s="14"/>
      <c r="E42" s="15"/>
      <c r="F42" s="15"/>
      <c r="G42" s="15"/>
      <c r="H42" s="30"/>
    </row>
    <row r="43" spans="1:8" ht="31.5" customHeight="1">
      <c r="A43" s="13"/>
      <c r="B43" s="14"/>
      <c r="C43" s="24"/>
      <c r="D43" s="14"/>
      <c r="E43" s="14"/>
      <c r="F43" s="15"/>
      <c r="G43" s="15"/>
      <c r="H43" s="30"/>
    </row>
    <row r="44" spans="1:8" ht="15.75" customHeight="1">
      <c r="A44" s="13"/>
      <c r="B44" s="14"/>
      <c r="C44" s="25"/>
      <c r="D44" s="15"/>
      <c r="E44" s="14"/>
      <c r="F44" s="15"/>
      <c r="G44" s="16"/>
      <c r="H44" s="31"/>
    </row>
    <row r="45" spans="1:8" ht="15.75" customHeight="1">
      <c r="A45" s="17"/>
      <c r="B45" s="15"/>
      <c r="C45" s="24"/>
      <c r="D45" s="14"/>
      <c r="E45" s="15"/>
      <c r="F45" s="15"/>
      <c r="G45" s="15"/>
      <c r="H45" s="30"/>
    </row>
    <row r="46" spans="1:8" ht="37.5" customHeight="1">
      <c r="A46" s="13"/>
      <c r="B46" s="14"/>
      <c r="C46" s="24"/>
      <c r="D46" s="14"/>
      <c r="E46" s="14"/>
      <c r="F46" s="15"/>
      <c r="G46" s="15"/>
      <c r="H46" s="30"/>
    </row>
    <row r="47" spans="1:8" ht="15.75" customHeight="1">
      <c r="A47" s="13"/>
      <c r="B47" s="14"/>
      <c r="C47" s="25"/>
      <c r="D47" s="15"/>
      <c r="E47" s="14"/>
      <c r="F47" s="15"/>
      <c r="G47" s="16"/>
      <c r="H47" s="31"/>
    </row>
    <row r="48" spans="1:8" ht="15.75" customHeight="1">
      <c r="A48" s="17"/>
      <c r="B48" s="15"/>
      <c r="C48" s="24"/>
      <c r="D48" s="14"/>
      <c r="E48" s="15"/>
      <c r="F48" s="15"/>
      <c r="G48" s="15"/>
      <c r="H48" s="30"/>
    </row>
    <row r="49" spans="1:8" ht="38.25" customHeight="1">
      <c r="A49" s="13"/>
      <c r="B49" s="14"/>
      <c r="C49" s="24"/>
      <c r="D49" s="14"/>
      <c r="E49" s="14"/>
      <c r="F49" s="15"/>
      <c r="G49" s="15"/>
      <c r="H49" s="30"/>
    </row>
    <row r="50" spans="1:8" ht="30.75" customHeight="1"/>
    <row r="51" spans="1:8" ht="15.75" customHeight="1"/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0" type="noConversion"/>
  <conditionalFormatting sqref="G8:G25">
    <cfRule type="cellIs" dxfId="51" priority="57" operator="equal">
      <formula>"FAIL"</formula>
    </cfRule>
  </conditionalFormatting>
  <conditionalFormatting sqref="G8:G25">
    <cfRule type="cellIs" dxfId="50" priority="58" operator="equal">
      <formula>"PASS"</formula>
    </cfRule>
  </conditionalFormatting>
  <conditionalFormatting sqref="G8:G25">
    <cfRule type="cellIs" dxfId="49" priority="59" operator="equal">
      <formula>"WARNING"</formula>
    </cfRule>
  </conditionalFormatting>
  <conditionalFormatting sqref="G8:G25">
    <cfRule type="containsBlanks" dxfId="48" priority="60">
      <formula>LEN(TRIM(G8))=0</formula>
    </cfRule>
  </conditionalFormatting>
  <conditionalFormatting sqref="G26">
    <cfRule type="cellIs" dxfId="47" priority="49" operator="equal">
      <formula>"FAIL"</formula>
    </cfRule>
  </conditionalFormatting>
  <conditionalFormatting sqref="G26">
    <cfRule type="cellIs" dxfId="46" priority="50" operator="equal">
      <formula>"PASS"</formula>
    </cfRule>
  </conditionalFormatting>
  <conditionalFormatting sqref="G26">
    <cfRule type="cellIs" dxfId="45" priority="51" operator="equal">
      <formula>"WARNING"</formula>
    </cfRule>
  </conditionalFormatting>
  <conditionalFormatting sqref="G26">
    <cfRule type="containsBlanks" dxfId="44" priority="52">
      <formula>LEN(TRIM(G26))=0</formula>
    </cfRule>
  </conditionalFormatting>
  <conditionalFormatting sqref="G29">
    <cfRule type="cellIs" dxfId="43" priority="45" operator="equal">
      <formula>"FAIL"</formula>
    </cfRule>
  </conditionalFormatting>
  <conditionalFormatting sqref="G29">
    <cfRule type="cellIs" dxfId="42" priority="46" operator="equal">
      <formula>"PASS"</formula>
    </cfRule>
  </conditionalFormatting>
  <conditionalFormatting sqref="G29">
    <cfRule type="cellIs" dxfId="41" priority="47" operator="equal">
      <formula>"WARNING"</formula>
    </cfRule>
  </conditionalFormatting>
  <conditionalFormatting sqref="G29">
    <cfRule type="containsBlanks" dxfId="40" priority="48">
      <formula>LEN(TRIM(G29))=0</formula>
    </cfRule>
  </conditionalFormatting>
  <conditionalFormatting sqref="G35">
    <cfRule type="cellIs" dxfId="39" priority="41" operator="equal">
      <formula>"FAIL"</formula>
    </cfRule>
  </conditionalFormatting>
  <conditionalFormatting sqref="G35">
    <cfRule type="cellIs" dxfId="38" priority="42" operator="equal">
      <formula>"PASS"</formula>
    </cfRule>
  </conditionalFormatting>
  <conditionalFormatting sqref="G35">
    <cfRule type="cellIs" dxfId="37" priority="43" operator="equal">
      <formula>"WARNING"</formula>
    </cfRule>
  </conditionalFormatting>
  <conditionalFormatting sqref="G35">
    <cfRule type="containsBlanks" dxfId="36" priority="44">
      <formula>LEN(TRIM(G35))=0</formula>
    </cfRule>
  </conditionalFormatting>
  <conditionalFormatting sqref="G38">
    <cfRule type="cellIs" dxfId="35" priority="37" operator="equal">
      <formula>"FAIL"</formula>
    </cfRule>
  </conditionalFormatting>
  <conditionalFormatting sqref="G38">
    <cfRule type="cellIs" dxfId="34" priority="38" operator="equal">
      <formula>"PASS"</formula>
    </cfRule>
  </conditionalFormatting>
  <conditionalFormatting sqref="G38">
    <cfRule type="cellIs" dxfId="33" priority="39" operator="equal">
      <formula>"WARNING"</formula>
    </cfRule>
  </conditionalFormatting>
  <conditionalFormatting sqref="G38">
    <cfRule type="containsBlanks" dxfId="32" priority="40">
      <formula>LEN(TRIM(G38))=0</formula>
    </cfRule>
  </conditionalFormatting>
  <conditionalFormatting sqref="G41">
    <cfRule type="cellIs" dxfId="31" priority="33" operator="equal">
      <formula>"FAIL"</formula>
    </cfRule>
  </conditionalFormatting>
  <conditionalFormatting sqref="G41">
    <cfRule type="cellIs" dxfId="30" priority="34" operator="equal">
      <formula>"PASS"</formula>
    </cfRule>
  </conditionalFormatting>
  <conditionalFormatting sqref="G41">
    <cfRule type="cellIs" dxfId="29" priority="35" operator="equal">
      <formula>"WARNING"</formula>
    </cfRule>
  </conditionalFormatting>
  <conditionalFormatting sqref="G41">
    <cfRule type="containsBlanks" dxfId="28" priority="36">
      <formula>LEN(TRIM(G41))=0</formula>
    </cfRule>
  </conditionalFormatting>
  <conditionalFormatting sqref="I2">
    <cfRule type="cellIs" dxfId="27" priority="29" operator="equal">
      <formula>"FAIL"</formula>
    </cfRule>
  </conditionalFormatting>
  <conditionalFormatting sqref="I2">
    <cfRule type="cellIs" dxfId="26" priority="30" operator="equal">
      <formula>"PASS"</formula>
    </cfRule>
  </conditionalFormatting>
  <conditionalFormatting sqref="I2">
    <cfRule type="cellIs" dxfId="25" priority="31" operator="equal">
      <formula>"WARNING"</formula>
    </cfRule>
  </conditionalFormatting>
  <conditionalFormatting sqref="I2">
    <cfRule type="containsBlanks" dxfId="24" priority="32">
      <formula>LEN(TRIM(I2))=0</formula>
    </cfRule>
  </conditionalFormatting>
  <conditionalFormatting sqref="I3">
    <cfRule type="cellIs" dxfId="23" priority="25" operator="equal">
      <formula>"FAIL"</formula>
    </cfRule>
  </conditionalFormatting>
  <conditionalFormatting sqref="I3">
    <cfRule type="cellIs" dxfId="22" priority="26" operator="equal">
      <formula>"PASS"</formula>
    </cfRule>
  </conditionalFormatting>
  <conditionalFormatting sqref="I3">
    <cfRule type="cellIs" dxfId="21" priority="27" operator="equal">
      <formula>"WARNING"</formula>
    </cfRule>
  </conditionalFormatting>
  <conditionalFormatting sqref="I3">
    <cfRule type="containsBlanks" dxfId="20" priority="28">
      <formula>LEN(TRIM(I3))=0</formula>
    </cfRule>
  </conditionalFormatting>
  <conditionalFormatting sqref="G7">
    <cfRule type="cellIs" dxfId="19" priority="21" operator="equal">
      <formula>"FAIL"</formula>
    </cfRule>
  </conditionalFormatting>
  <conditionalFormatting sqref="G7">
    <cfRule type="cellIs" dxfId="18" priority="22" operator="equal">
      <formula>"PASS"</formula>
    </cfRule>
  </conditionalFormatting>
  <conditionalFormatting sqref="G7">
    <cfRule type="cellIs" dxfId="17" priority="23" operator="equal">
      <formula>"WARNING"</formula>
    </cfRule>
  </conditionalFormatting>
  <conditionalFormatting sqref="G7">
    <cfRule type="containsBlanks" dxfId="16" priority="24">
      <formula>LEN(TRIM(G7))=0</formula>
    </cfRule>
  </conditionalFormatting>
  <conditionalFormatting sqref="G32">
    <cfRule type="cellIs" dxfId="15" priority="13" operator="equal">
      <formula>"FAIL"</formula>
    </cfRule>
  </conditionalFormatting>
  <conditionalFormatting sqref="G32">
    <cfRule type="cellIs" dxfId="14" priority="14" operator="equal">
      <formula>"PASS"</formula>
    </cfRule>
  </conditionalFormatting>
  <conditionalFormatting sqref="G32">
    <cfRule type="cellIs" dxfId="13" priority="15" operator="equal">
      <formula>"WARNING"</formula>
    </cfRule>
  </conditionalFormatting>
  <conditionalFormatting sqref="G32">
    <cfRule type="containsBlanks" dxfId="12" priority="16">
      <formula>LEN(TRIM(G32))=0</formula>
    </cfRule>
  </conditionalFormatting>
  <conditionalFormatting sqref="G44">
    <cfRule type="cellIs" dxfId="11" priority="9" operator="equal">
      <formula>"FAIL"</formula>
    </cfRule>
  </conditionalFormatting>
  <conditionalFormatting sqref="G44">
    <cfRule type="cellIs" dxfId="10" priority="10" operator="equal">
      <formula>"PASS"</formula>
    </cfRule>
  </conditionalFormatting>
  <conditionalFormatting sqref="G44">
    <cfRule type="cellIs" dxfId="9" priority="11" operator="equal">
      <formula>"WARNING"</formula>
    </cfRule>
  </conditionalFormatting>
  <conditionalFormatting sqref="G44">
    <cfRule type="containsBlanks" dxfId="8" priority="12">
      <formula>LEN(TRIM(G44))=0</formula>
    </cfRule>
  </conditionalFormatting>
  <conditionalFormatting sqref="G47">
    <cfRule type="cellIs" dxfId="7" priority="5" operator="equal">
      <formula>"FAIL"</formula>
    </cfRule>
  </conditionalFormatting>
  <conditionalFormatting sqref="G47">
    <cfRule type="cellIs" dxfId="6" priority="6" operator="equal">
      <formula>"PASS"</formula>
    </cfRule>
  </conditionalFormatting>
  <conditionalFormatting sqref="G47">
    <cfRule type="cellIs" dxfId="5" priority="7" operator="equal">
      <formula>"WARNING"</formula>
    </cfRule>
  </conditionalFormatting>
  <conditionalFormatting sqref="G47">
    <cfRule type="containsBlanks" dxfId="4" priority="8">
      <formula>LEN(TRIM(G47))=0</formula>
    </cfRule>
  </conditionalFormatting>
  <conditionalFormatting sqref="G11">
    <cfRule type="cellIs" dxfId="3" priority="4" operator="equal">
      <formula>"FAIL"</formula>
    </cfRule>
  </conditionalFormatting>
  <conditionalFormatting sqref="G11">
    <cfRule type="cellIs" dxfId="2" priority="3" operator="equal">
      <formula>"PASS"</formula>
    </cfRule>
  </conditionalFormatting>
  <conditionalFormatting sqref="G11">
    <cfRule type="cellIs" dxfId="1" priority="2" operator="equal">
      <formula>"WARNING"</formula>
    </cfRule>
  </conditionalFormatting>
  <conditionalFormatting sqref="G11">
    <cfRule type="containsBlanks" dxfId="0" priority="1">
      <formula>LEN(TRIM(G11))=0</formula>
    </cfRule>
  </conditionalFormatting>
  <dataValidations xWindow="1346" yWindow="406" count="1">
    <dataValidation type="list" allowBlank="1" showInputMessage="1" showErrorMessage="1" prompt="Click and enter a value from the list of items" sqref="G29 G35 G38 G41 G47 G32 G44 G7:G26">
      <formula1>"PASS,FAIL,WARNING"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TMSS-ICT</dc:creator>
  <cp:lastModifiedBy>TMSS-ICT</cp:lastModifiedBy>
  <cp:lastPrinted>2020-08-07T07:40:07Z</cp:lastPrinted>
  <dcterms:created xsi:type="dcterms:W3CDTF">2020-08-07T08:33:33Z</dcterms:created>
  <dcterms:modified xsi:type="dcterms:W3CDTF">2021-09-18T16:52:20Z</dcterms:modified>
</cp:coreProperties>
</file>